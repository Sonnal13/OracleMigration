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eferenced Objects" sheetId="9" r:id="rId9"/>
    <sheet name="Program-Object Xref" sheetId="10" r:id="rId10"/>
    <sheet name="RAW_PROGRAM_OBJECT_XREF" sheetId="11" r:id="rId11"/>
  </sheets>
  <definedNames>
    <definedName name="_xlnm._FilterDatabase" localSheetId="5" hidden="1">Functions!$A$1:$B$12</definedName>
    <definedName name="_xlnm._FilterDatabase" localSheetId="9" hidden="1">'Program-Object Xref'!$A$1:$F$2</definedName>
    <definedName name="_xlnm._FilterDatabase" localSheetId="10" hidden="1">RAW_PROGRAM_OBJECT_XREF!$A$1:$D$6</definedName>
    <definedName name="_xlnm._FilterDatabase" localSheetId="8" hidden="1">'Referenced Objects'!$A$1:$G$6</definedName>
    <definedName name="_xlnm._FilterDatabase" localSheetId="1" hidden="1">'SQL Programs'!$A$1:$L$2</definedName>
    <definedName name="_xlnm._FilterDatabase" localSheetId="2" hidden="1">'SQL Script Categories'!$A$1:$B$2</definedName>
    <definedName name="_xlnm._FilterDatabase" localSheetId="4" hidden="1">'SQL Special Patterns'!$A$1:$E$2</definedName>
    <definedName name="_xlnm._FilterDatabase" localSheetId="3" hidden="1">'UNKNOWN SQL Category'!$A$1:$B$1</definedName>
  </definedNames>
  <calcPr calcId="124519" fullCalcOnLoad="1"/>
</workbook>
</file>

<file path=xl/sharedStrings.xml><?xml version="1.0" encoding="utf-8"?>
<sst xmlns="http://schemas.openxmlformats.org/spreadsheetml/2006/main" count="185" uniqueCount="115">
  <si>
    <t>Run date/time: 2026-01-13 21:07:10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</si>
  <si>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</si>
  <si>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</si>
  <si>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</si>
  <si>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</si>
  <si>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</si>
  <si>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</si>
  <si>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</si>
  <si>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</si>
  <si>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</si>
  <si>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</si>
  <si>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</si>
  <si>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</si>
  <si>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</si>
  <si>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</si>
  <si>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</si>
  <si>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</si>
  <si>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</si>
  <si>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</si>
  <si>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</si>
  <si>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</si>
  <si>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5.6.6 Build 20251204</t>
  </si>
  <si>
    <t>Command Line Options:</t>
  </si>
  <si>
    <t>Option</t>
  </si>
  <si>
    <t>Value</t>
  </si>
  <si>
    <t>-E</t>
  </si>
  <si>
    <t>-F</t>
  </si>
  <si>
    <t>-d</t>
  </si>
  <si>
    <t>C:/Users/skamalka/OracleMigration/oracle_sql</t>
  </si>
  <si>
    <t>-e</t>
  </si>
  <si>
    <t>-r</t>
  </si>
  <si>
    <t>C:\Users\skamalka\AppData\Local\Temp\tmpitkhp3ku\oracle_assessment.xlsx</t>
  </si>
  <si>
    <t>-t</t>
  </si>
  <si>
    <t>SQL</t>
  </si>
  <si>
    <t>Analyzer run duration:</t>
  </si>
  <si>
    <t>0h, 0m, 0s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</si>
  <si>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</si>
  <si>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</si>
  <si>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</si>
  <si>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</si>
  <si>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</si>
  <si>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</si>
  <si>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</si>
  <si>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</si>
  <si>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</si>
  <si>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</si>
  <si>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</si>
  <si>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</si>
  <si>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oracle_objects.sql</t>
  </si>
  <si>
    <t>C:/Users/skamalka/OracleMigration/oracle_sql/oracle_objects.sql</t>
  </si>
  <si>
    <t>YES</t>
  </si>
  <si>
    <t>LOW</t>
  </si>
  <si>
    <t>CTE_TABLE</t>
  </si>
  <si>
    <t>Total Statement count: 1, Conventional Statement count: 1, Simple Statement count: 0, Pivot functions: 0, XML functions: 0, Loops: 0, Medium category breaks: 0, High category breaks: 0</t>
  </si>
  <si>
    <t>6D329B79D55912CE8AC9607CC2CB921B</t>
  </si>
  <si>
    <t>d839841461547c6e4c026c6781afe5a75b35f609622938d556a63dbc4e17041a1774c30a7915130180bab3f2fc8068c13eb55511ff16dfc8cab0356270480c5c0528b7340d2a765c624898af368f6094</t>
  </si>
  <si>
    <t>SQL Script Categories</t>
  </si>
  <si>
    <t># of Occurrences</t>
  </si>
  <si>
    <t>SQL unknown category scripts</t>
  </si>
  <si>
    <t>ETL</t>
  </si>
  <si>
    <t>Job Complexity Categorization</t>
  </si>
  <si>
    <t>Procedure or Function</t>
  </si>
  <si>
    <t>MEDIUM</t>
  </si>
  <si>
    <t>HIGH</t>
  </si>
  <si>
    <t>VERY_HIGH</t>
  </si>
  <si>
    <t>Name</t>
  </si>
  <si>
    <t>Pattern Type</t>
  </si>
  <si>
    <t>Source Node</t>
  </si>
  <si>
    <t>Target Node</t>
  </si>
  <si>
    <t>Additional Info</t>
  </si>
  <si>
    <t>Query</t>
  </si>
  <si>
    <t>N/a</t>
  </si>
  <si>
    <t>Correlated sub-query</t>
  </si>
  <si>
    <t>Function</t>
  </si>
  <si>
    <t># of Calls</t>
  </si>
  <si>
    <t>SUM</t>
  </si>
  <si>
    <t>NVL</t>
  </si>
  <si>
    <t>COUNT</t>
  </si>
  <si>
    <t>LAG</t>
  </si>
  <si>
    <t>ADD_MONTHS</t>
  </si>
  <si>
    <t>RANK</t>
  </si>
  <si>
    <t>AVG</t>
  </si>
  <si>
    <t>SIGN</t>
  </si>
  <si>
    <t>MAX</t>
  </si>
  <si>
    <t>DECODE</t>
  </si>
  <si>
    <t>ROUND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</si>
  <si>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</si>
  <si>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</si>
  <si>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</si>
  <si>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</si>
  <si>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</si>
  <si>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</si>
  <si>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</si>
  <si>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</si>
  <si>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active_customers</t>
  </si>
  <si>
    <t>customer_aggregation</t>
  </si>
  <si>
    <t>customers</t>
  </si>
  <si>
    <t>orders</t>
  </si>
  <si>
    <t>payments</t>
  </si>
  <si>
    <t>READ: 1</t>
  </si>
  <si>
    <t>Program</t>
  </si>
  <si>
    <t>Object</t>
  </si>
  <si>
    <t>Operation</t>
  </si>
  <si>
    <t>Count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</si>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</sst>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104</v>
      </c>
      <c r="E1" s="2" t="s">
        <v>21</v>
      </c>
      <c r="F1" s="2"/>
    </row>
    <row r="2" spans="1:6">
      <c r="D2" s="3" t="s">
        <v>105</v>
      </c>
      <c r="E2" s="2" t="s">
        <v>22</v>
      </c>
      <c r="F2" s="2"/>
    </row>
    <row r="3" spans="1:6">
      <c r="A3" s="4" t="s">
        <v>1</v>
      </c>
      <c r="B3" s="4"/>
      <c r="D3" s="3" t="s">
        <v>106</v>
      </c>
      <c r="E3" s="2" t="s">
        <v>23</v>
      </c>
      <c r="F3" s="2" t="s">
        <v>24</v>
      </c>
    </row>
    <row r="4" spans="1:6">
      <c r="A4" s="1" t="s">
        <v>2</v>
      </c>
      <c r="B4" s="5">
        <v>1</v>
      </c>
      <c r="D4" s="3" t="s">
        <v>56</v>
      </c>
      <c r="E4" s="2" t="s">
        <v>25</v>
      </c>
      <c r="F4" s="6"/>
    </row>
    <row r="5" spans="1:6">
      <c r="A5" s="1" t="s">
        <v>3</v>
      </c>
      <c r="B5" s="5">
        <v>1</v>
      </c>
      <c r="D5" s="3" t="s">
        <v>107</v>
      </c>
      <c r="E5" s="2" t="s">
        <v>26</v>
      </c>
      <c r="F5" s="6">
        <v>10000000000000</v>
      </c>
    </row>
    <row r="6" spans="1:6">
      <c r="A6" s="1" t="s">
        <v>4</v>
      </c>
      <c r="B6" s="5">
        <v>0</v>
      </c>
      <c r="D6" s="3" t="s">
        <v>108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109</v>
      </c>
      <c r="E7" s="2" t="s">
        <v>29</v>
      </c>
      <c r="F7" s="6">
        <v>1</v>
      </c>
    </row>
    <row r="8" spans="1:6">
      <c r="A8" s="1" t="s">
        <v>6</v>
      </c>
      <c r="B8" s="5">
        <v>0</v>
      </c>
      <c r="D8" s="3" t="s">
        <v>110</v>
      </c>
      <c r="E8" s="2" t="s">
        <v>30</v>
      </c>
      <c r="F8" s="6" t="s">
        <v>31</v>
      </c>
    </row>
    <row r="9" spans="1:6">
      <c r="A9" s="1" t="s">
        <v>7</v>
      </c>
      <c r="B9" s="5">
        <v>0</v>
      </c>
      <c r="D9" s="3" t="s">
        <v>111</v>
      </c>
      <c r="E9" s="2" t="s">
        <v>32</v>
      </c>
      <c r="F9" s="6" t="s">
        <v>33</v>
      </c>
    </row>
    <row r="10" spans="1:6">
      <c r="A10" s="1" t="s">
        <v>8</v>
      </c>
      <c r="B10" s="5">
        <v>0</v>
      </c>
      <c r="D10" s="3" t="s">
        <v>112</v>
      </c>
      <c r="E10" s="2" t="s">
        <v>34</v>
      </c>
    </row>
    <row r="11" spans="1:6">
      <c r="A11" s="1" t="s">
        <v>9</v>
      </c>
      <c r="B11" s="5">
        <v>0</v>
      </c>
      <c r="D11" s="3" t="s">
        <v>113</v>
      </c>
      <c r="E11" s="6" t="s">
        <v>35</v>
      </c>
    </row>
    <row r="12" spans="1:6">
      <c r="A12" s="1" t="s">
        <v>10</v>
      </c>
      <c r="B12" s="5">
        <v>0</v>
      </c>
      <c r="D12" s="3" t="s">
        <v>114</v>
      </c>
    </row>
    <row r="13" spans="1:6">
      <c r="A13" s="1" t="s">
        <v>11</v>
      </c>
      <c r="B13" s="5">
        <v>0</v>
      </c>
    </row>
    <row r="14" spans="1:6">
      <c r="A14" s="1" t="s">
        <v>12</v>
      </c>
      <c r="B14" s="5">
        <v>0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129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59</v>
      </c>
    </row>
    <row r="25" spans="1:3">
      <c r="A25" s="4" t="s">
        <v>60</v>
      </c>
      <c r="B25" s="4"/>
      <c r="C25" s="4" t="s">
        <v>61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62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63</v>
      </c>
      <c r="B28" s="5">
        <f>COUNTIFS('SQL Programs'!E:E,"HIGH",'SQL Programs'!C:C,"YES",'SQL Programs'!L:L,"SQL")</f>
        <v>0</v>
      </c>
      <c r="C28" s="5">
        <f>SUMIFS('SQL Programs'!G:G,'SQL Programs'!E:E,"HIGH",'SQL Programs'!C:C,"YES",'SQL Programs'!L:L,"ETL")</f>
        <v>0</v>
      </c>
    </row>
    <row r="29" spans="1:3">
      <c r="A29" s="1" t="s">
        <v>64</v>
      </c>
      <c r="B29" s="5">
        <f>COUNTIFS('SQL Programs'!E:E,"VERY_HIGH",'SQL Programs'!C:C,"YES",'SQL Programs'!L:L,"SQL")</f>
        <v>0</v>
      </c>
      <c r="C29" s="5">
        <f>SUMIFS('SQL Programs'!G:G,'SQL Programs'!E:E,"VERY_HIGH",'SQL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eferenced Objects'!A1" display="Referenced Objects"/>
    <hyperlink ref="D11" location="'Program-Object Xref'!A1" display="Program-Object Xref"/>
    <hyperlink ref="D12" location="'RAW_PROGRAM_OBJECT_XREF'!A1" display="RAW_PROGRAM_OBJECT_XREF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129</v>
      </c>
      <c r="E2" s="6" t="s">
        <v>51</v>
      </c>
      <c r="F2" s="6">
        <v>1</v>
      </c>
      <c r="G2" s="6">
        <v>0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33</v>
      </c>
    </row>
  </sheetData>
  <autoFilter ref="A1:L2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56</v>
      </c>
      <c r="B1" s="2" t="s">
        <v>57</v>
      </c>
    </row>
    <row r="2" spans="1:2">
      <c r="A2" s="6" t="s">
        <v>52</v>
      </c>
      <c r="B2" s="6">
        <v>1</v>
      </c>
    </row>
  </sheetData>
  <autoFilter ref="A1:B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58</v>
      </c>
      <c r="B1" s="2" t="s">
        <v>57</v>
      </c>
    </row>
  </sheetData>
  <autoFilter ref="A1:B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</row>
    <row r="2" spans="1:5">
      <c r="A2" s="6" t="s">
        <v>49</v>
      </c>
      <c r="B2" s="6" t="s">
        <v>70</v>
      </c>
      <c r="C2" s="6" t="s">
        <v>71</v>
      </c>
      <c r="D2" s="6" t="s">
        <v>71</v>
      </c>
      <c r="E2" s="6" t="s">
        <v>72</v>
      </c>
    </row>
  </sheetData>
  <autoFilter ref="A1:E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73</v>
      </c>
      <c r="B1" s="2" t="s">
        <v>74</v>
      </c>
    </row>
    <row r="2" spans="1:2">
      <c r="A2" s="6" t="s">
        <v>75</v>
      </c>
      <c r="B2" s="6">
        <v>4</v>
      </c>
    </row>
    <row r="3" spans="1:2">
      <c r="A3" s="6" t="s">
        <v>76</v>
      </c>
      <c r="B3" s="6">
        <v>1</v>
      </c>
    </row>
    <row r="4" spans="1:2">
      <c r="A4" s="6" t="s">
        <v>77</v>
      </c>
      <c r="B4" s="6">
        <v>1</v>
      </c>
    </row>
    <row r="5" spans="1:2">
      <c r="A5" s="6" t="s">
        <v>78</v>
      </c>
      <c r="B5" s="6">
        <v>1</v>
      </c>
    </row>
    <row r="6" spans="1:2">
      <c r="A6" s="6" t="s">
        <v>79</v>
      </c>
      <c r="B6" s="6">
        <v>1</v>
      </c>
    </row>
    <row r="7" spans="1:2">
      <c r="A7" s="6" t="s">
        <v>80</v>
      </c>
      <c r="B7" s="6">
        <v>1</v>
      </c>
    </row>
    <row r="8" spans="1:2">
      <c r="A8" s="6" t="s">
        <v>81</v>
      </c>
      <c r="B8" s="6">
        <v>1</v>
      </c>
    </row>
    <row r="9" spans="1:2">
      <c r="A9" s="6" t="s">
        <v>82</v>
      </c>
      <c r="B9" s="6">
        <v>1</v>
      </c>
    </row>
    <row r="10" spans="1:2">
      <c r="A10" s="6" t="s">
        <v>83</v>
      </c>
      <c r="B10" s="6">
        <v>1</v>
      </c>
    </row>
    <row r="11" spans="1:2">
      <c r="A11" s="6" t="s">
        <v>84</v>
      </c>
      <c r="B11" s="6">
        <v>1</v>
      </c>
    </row>
    <row r="12" spans="1:2">
      <c r="A12" s="6" t="s">
        <v>85</v>
      </c>
      <c r="B12" s="6">
        <v>1</v>
      </c>
    </row>
  </sheetData>
  <autoFilter ref="A1:B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86</v>
      </c>
      <c r="B1" s="2" t="s">
        <v>73</v>
      </c>
      <c r="C1" s="2" t="s">
        <v>74</v>
      </c>
    </row>
    <row r="2" spans="1:3">
      <c r="A2" s="6" t="s">
        <v>49</v>
      </c>
      <c r="B2" s="6" t="s">
        <v>79</v>
      </c>
      <c r="C2" s="6">
        <v>1</v>
      </c>
    </row>
    <row r="3" spans="1:3">
      <c r="A3" s="6" t="s">
        <v>49</v>
      </c>
      <c r="B3" s="6" t="s">
        <v>77</v>
      </c>
      <c r="C3" s="6">
        <v>1</v>
      </c>
    </row>
    <row r="4" spans="1:3">
      <c r="A4" s="6" t="s">
        <v>49</v>
      </c>
      <c r="B4" s="6" t="s">
        <v>78</v>
      </c>
      <c r="C4" s="6">
        <v>1</v>
      </c>
    </row>
    <row r="5" spans="1:3">
      <c r="A5" s="6" t="s">
        <v>49</v>
      </c>
      <c r="B5" s="6" t="s">
        <v>75</v>
      </c>
      <c r="C5" s="6">
        <v>4</v>
      </c>
    </row>
    <row r="6" spans="1:3">
      <c r="A6" s="6" t="s">
        <v>49</v>
      </c>
      <c r="B6" s="6" t="s">
        <v>76</v>
      </c>
      <c r="C6" s="6">
        <v>1</v>
      </c>
    </row>
    <row r="7" spans="1:3">
      <c r="A7" s="6" t="s">
        <v>49</v>
      </c>
      <c r="B7" s="6" t="s">
        <v>85</v>
      </c>
      <c r="C7" s="6">
        <v>1</v>
      </c>
    </row>
    <row r="8" spans="1:3">
      <c r="A8" s="6" t="s">
        <v>49</v>
      </c>
      <c r="B8" s="6" t="s">
        <v>84</v>
      </c>
      <c r="C8" s="6">
        <v>1</v>
      </c>
    </row>
    <row r="9" spans="1:3">
      <c r="A9" s="6" t="s">
        <v>49</v>
      </c>
      <c r="B9" s="6" t="s">
        <v>82</v>
      </c>
      <c r="C9" s="6">
        <v>1</v>
      </c>
    </row>
    <row r="10" spans="1:3">
      <c r="A10" s="6" t="s">
        <v>49</v>
      </c>
      <c r="B10" s="6" t="s">
        <v>83</v>
      </c>
      <c r="C10" s="6">
        <v>1</v>
      </c>
    </row>
    <row r="11" spans="1:3">
      <c r="A11" s="6" t="s">
        <v>49</v>
      </c>
      <c r="B11" s="6" t="s">
        <v>80</v>
      </c>
      <c r="C11" s="6">
        <v>1</v>
      </c>
    </row>
    <row r="12" spans="1:3">
      <c r="A12" s="6" t="s">
        <v>49</v>
      </c>
      <c r="B12" s="6" t="s">
        <v>81</v>
      </c>
      <c r="C12" s="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80.7109375" customWidth="1"/>
    <col min="2" max="12" width="15.7109375" customWidth="1"/>
  </cols>
  <sheetData>
    <row r="1" spans="1:12">
      <c r="A1" s="2" t="s">
        <v>86</v>
      </c>
      <c r="B1" s="7" t="s">
        <v>75</v>
      </c>
      <c r="C1" s="7" t="s">
        <v>76</v>
      </c>
      <c r="D1" s="7" t="s">
        <v>77</v>
      </c>
      <c r="E1" s="7" t="s">
        <v>78</v>
      </c>
      <c r="F1" s="7" t="s">
        <v>79</v>
      </c>
      <c r="G1" s="7" t="s">
        <v>80</v>
      </c>
      <c r="H1" s="7" t="s">
        <v>81</v>
      </c>
      <c r="I1" s="7" t="s">
        <v>82</v>
      </c>
      <c r="J1" s="7" t="s">
        <v>83</v>
      </c>
      <c r="K1" s="7" t="s">
        <v>84</v>
      </c>
      <c r="L1" s="7" t="s">
        <v>85</v>
      </c>
    </row>
    <row r="2" spans="1:12">
      <c r="A2" s="6" t="s">
        <v>49</v>
      </c>
      <c r="B2" s="6">
        <v>4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7" t="s">
        <v>87</v>
      </c>
      <c r="B1" s="7" t="s">
        <v>88</v>
      </c>
      <c r="C1" s="7" t="s">
        <v>89</v>
      </c>
      <c r="D1" s="7" t="s">
        <v>90</v>
      </c>
      <c r="E1" s="7" t="s">
        <v>91</v>
      </c>
      <c r="F1" s="7" t="s">
        <v>92</v>
      </c>
      <c r="G1" s="7" t="s">
        <v>93</v>
      </c>
    </row>
    <row r="2" spans="1:7">
      <c r="A2" s="6" t="s">
        <v>94</v>
      </c>
      <c r="C2" s="8">
        <v>1</v>
      </c>
    </row>
    <row r="3" spans="1:7">
      <c r="A3" s="6" t="s">
        <v>95</v>
      </c>
      <c r="C3" s="8">
        <v>1</v>
      </c>
    </row>
    <row r="4" spans="1:7">
      <c r="A4" s="6" t="s">
        <v>96</v>
      </c>
      <c r="C4" s="8">
        <v>1</v>
      </c>
    </row>
    <row r="5" spans="1:7">
      <c r="A5" s="6" t="s">
        <v>97</v>
      </c>
      <c r="C5" s="8">
        <v>1</v>
      </c>
    </row>
    <row r="6" spans="1:7">
      <c r="A6" s="6" t="s">
        <v>98</v>
      </c>
      <c r="C6" s="8">
        <v>1</v>
      </c>
    </row>
  </sheetData>
  <autoFilter ref="A1:G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6" width="30.7109375" customWidth="1"/>
  </cols>
  <sheetData>
    <row r="1" spans="1:6">
      <c r="B1" s="7" t="s">
        <v>94</v>
      </c>
      <c r="C1" s="7" t="s">
        <v>95</v>
      </c>
      <c r="D1" s="7" t="s">
        <v>96</v>
      </c>
      <c r="E1" s="7" t="s">
        <v>97</v>
      </c>
      <c r="F1" s="7" t="s">
        <v>98</v>
      </c>
    </row>
    <row r="2" spans="1:6">
      <c r="A2" s="2" t="s">
        <v>49</v>
      </c>
      <c r="B2" s="8" t="s">
        <v>99</v>
      </c>
      <c r="C2" s="8" t="s">
        <v>99</v>
      </c>
      <c r="D2" s="8" t="s">
        <v>99</v>
      </c>
      <c r="E2" s="8" t="s">
        <v>99</v>
      </c>
      <c r="F2" s="8" t="s">
        <v>99</v>
      </c>
    </row>
  </sheetData>
  <autoFilter ref="A1:F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30.7109375" customWidth="1"/>
  </cols>
  <sheetData>
    <row r="1" spans="1:4">
      <c r="A1" s="7" t="s">
        <v>100</v>
      </c>
      <c r="B1" s="7" t="s">
        <v>101</v>
      </c>
      <c r="C1" s="7" t="s">
        <v>102</v>
      </c>
      <c r="D1" s="7" t="s">
        <v>103</v>
      </c>
    </row>
    <row r="2" spans="1:4">
      <c r="A2" s="6" t="s">
        <v>49</v>
      </c>
      <c r="B2" s="6" t="s">
        <v>94</v>
      </c>
      <c r="C2" s="6" t="s">
        <v>89</v>
      </c>
      <c r="D2" s="6">
        <v>1</v>
      </c>
    </row>
    <row r="3" spans="1:4">
      <c r="A3" s="6" t="s">
        <v>49</v>
      </c>
      <c r="B3" s="6" t="s">
        <v>95</v>
      </c>
      <c r="C3" s="6" t="s">
        <v>89</v>
      </c>
      <c r="D3" s="6">
        <v>1</v>
      </c>
    </row>
    <row r="4" spans="1:4">
      <c r="A4" s="6" t="s">
        <v>49</v>
      </c>
      <c r="B4" s="6" t="s">
        <v>96</v>
      </c>
      <c r="C4" s="6" t="s">
        <v>89</v>
      </c>
      <c r="D4" s="6">
        <v>1</v>
      </c>
    </row>
    <row r="5" spans="1:4">
      <c r="A5" s="6" t="s">
        <v>49</v>
      </c>
      <c r="B5" s="6" t="s">
        <v>97</v>
      </c>
      <c r="C5" s="6" t="s">
        <v>89</v>
      </c>
      <c r="D5" s="6">
        <v>1</v>
      </c>
    </row>
    <row r="6" spans="1:4">
      <c r="A6" s="6" t="s">
        <v>49</v>
      </c>
      <c r="B6" s="6" t="s">
        <v>98</v>
      </c>
      <c r="C6" s="6" t="s">
        <v>89</v>
      </c>
      <c r="D6" s="6">
        <v>1</v>
      </c>
    </row>
  </sheetData>
  <autoFilter ref="A1:D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2026-01-13T15:37:10Z</dcterms:created>
  <dcterms:modified xsi:type="dcterms:W3CDTF">2026-01-13T15:37:10Z</dcterms:modified>
</cp:coreProperties>
</file>